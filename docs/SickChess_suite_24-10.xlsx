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tapes" sheetId="1" state="visible" r:id="rId3"/>
    <sheet name="Tests à faire" sheetId="2" state="visible" r:id="rId4"/>
    <sheet name="Travaux faits" sheetId="3" state="visible" r:id="rId5"/>
    <sheet name="Reste à décid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<sst xmlns="http://schemas.openxmlformats.org/spreadsheetml/2006/main" count="241" uniqueCount="160">
  <si>
    <t xml:space="preserve">SickChess – la suite, dans l'ordre (mise à jour le 24/10 à 04h35)</t>
  </si>
  <si>
    <t xml:space="preserve">Choisis « Oui » dans la colonne Fait quand l'étape est finie (case jaune). Les étapes déjà faites par Claude Code sont remplies.</t>
  </si>
  <si>
    <t xml:space="preserve">N°</t>
  </si>
  <si>
    <t xml:space="preserve">Qui</t>
  </si>
  <si>
    <t xml:space="preserve">Action</t>
  </si>
  <si>
    <t xml:space="preserve">Fait ?</t>
  </si>
  <si>
    <t xml:space="preserve">Vu sur ton PC</t>
  </si>
  <si>
    <t xml:space="preserve">Claude Code (PC)</t>
  </si>
  <si>
    <t xml:space="preserve">Récupérer le travail du cloud (branche claude/great-cori-vewo3e) et le fusionner dans main.</t>
  </si>
  <si>
    <t xml:space="preserve">Oui</t>
  </si>
  <si>
    <t xml:space="preserve">Fait : « fusion du travail du cloud (p28 à p37) », 14 commits depuis la n° 3.</t>
  </si>
  <si>
    <t xml:space="preserve">Coller : « Lance tous les tests et le banc d'essai rapide sur ce PC, puis python outils/verifier_en_ligne.py et la vérification des classements Steam avec Steam ouvert. Si tout est vert, publie la version amis n° 4 et dis-moi ce qui a changé. »</t>
  </si>
  <si>
    <t xml:space="preserve">Non</t>
  </si>
  <si>
    <t xml:space="preserve">Pas encore : la dernière version en ligne est la n° 3.</t>
  </si>
  <si>
    <t xml:space="preserve">Toi</t>
  </si>
  <si>
    <t xml:space="preserve">Installer la n° 4, ou laisser ton jeu se mettre à jour tout seul dans le menu.</t>
  </si>
  <si>
    <t xml:space="preserve">Faire t82 à t87 (analyse libre), onglet « Tests à faire ».</t>
  </si>
  <si>
    <t xml:space="preserve">Faire t88 et t92 à t94 avec Steam ouvert ; t89 à t91 avec un ami Steam.</t>
  </si>
  <si>
    <t xml:space="preserve">Faire t95 à t100.</t>
  </si>
  <si>
    <t xml:space="preserve">Recopier résultats et commentaires dans ta page « À faire ».</t>
  </si>
  <si>
    <t xml:space="preserve">Toi + Cowork</t>
  </si>
  <si>
    <t xml:space="preserve">Revenir dans Cowork et dire « où en est-on » : relecture des commentaires et suite.</t>
  </si>
  <si>
    <t xml:space="preserve">Tests à faire sur ton PC (travaux du 24/10)</t>
  </si>
  <si>
    <t xml:space="preserve">Remplis seulement les cases jaunes : Résultat (liste) et Commentaire. Recopie ensuite dans ta page « À faire ».</t>
  </si>
  <si>
    <t xml:space="preserve">Code</t>
  </si>
  <si>
    <t xml:space="preserve">Travail</t>
  </si>
  <si>
    <t xml:space="preserve">Test</t>
  </si>
  <si>
    <t xml:space="preserve">Ce qu'il faut faire</t>
  </si>
  <si>
    <t xml:space="preserve">Steam ouvert ?</t>
  </si>
  <si>
    <t xml:space="preserve">Un ami ?</t>
  </si>
  <si>
    <t xml:space="preserve">Déjà vérifié par Claude</t>
  </si>
  <si>
    <t xml:space="preserve">Résultat</t>
  </si>
  <si>
    <t xml:space="preserve">Commentaire</t>
  </si>
  <si>
    <t xml:space="preserve">t82</t>
  </si>
  <si>
    <t xml:space="preserve">Analyse libre (p35)</t>
  </si>
  <si>
    <t xml:space="preserve">Analyse libre : Stockfish en continu</t>
  </si>
  <si>
    <t xml:space="preserve">Menu → Analyse libre : en quelques secondes, 3 lignes de Stockfish, « profondeur » qui monte, flèche bleue ; joue des coups des deux camps : Stockfish suit chaque coup aussitôt ; le jeu reste fluide.</t>
  </si>
  <si>
    <t xml:space="preserve">Vérifié par Claude dans le cloud (Linux, fenêtre invisible, vrai Stockfish, jeu piloté souris + clavier) : ✓ 3 lignes de Stockfish en 2.8 s (dont ~4,5 s de demarrage de Stockfish dans le cloud) ; ✓ profondeur qui monte (7 -&gt; 22), ligne d'etat « Trait aux Blancs  ·  profondeur 22 » ; ✓ fleche bleue + barre d'avantage (+0.31) ; ✓ glisser puis clic-clic, les deux camps : ['e2e4', 'e7e5', 'g1f3'] ; ✓ Stockfish repart sur la nouvelle position en 0.03 s (coups noirs proposes : Nc6) ; ✓ fleches, Debut (0), Fin (3), clic sur le 2e coup de la feuille (2) ; ✓ un autre coup au milieu (Cc3 au lieu de Cf3) remplace la suite : ['e2e4', 'e7e5', 'b1c3']. Reste pour toi : ce qui demande tes yeux / Windows (voir le texte). En attente de la même vérification sur ton PC.</t>
  </si>
  <si>
    <t xml:space="preserve">t83</t>
  </si>
  <si>
    <t xml:space="preserve">Analyse libre : cliquer une ligne, Espace</t>
  </si>
  <si>
    <t xml:space="preserve">Clique sur une des 3 lignes (son premier coup est joué) ; Espace : « Relancer » en or et le processeur redescend (Gestionnaire des tâches) ; Espace : ça repart.</t>
  </si>
  <si>
    <t xml:space="preserve">Vérifié par Claude dans le cloud (Linux, fenêtre invisible, vrai Stockfish, jeu piloté souris + clavier) : ✓ clic sur la 1re ligne : b8c6 joue ; ✓ Espace : « Trait aux Blancs  ·  Stockfish à l'arrêt (Espace) », bouton « Relancer » en or ; ✓ processeur de Stockfish : 297 % en marche, 0 % a l'arret (4 coeurs) ; ✓ Espace encore : l'analyse reprend. Reste pour toi : ce qui demande tes yeux / Windows (voir le texte). En attente de la même vérification sur ton PC.</t>
  </si>
  <si>
    <t xml:space="preserve">t84</t>
  </si>
  <si>
    <t xml:space="preserve">Analyse libre : coller un FEN / un PGN, copier le FEN</t>
  </si>
  <si>
    <t xml:space="preserve">Copie un FEN sur lichess (Partager) puis Ctrl+V ; copie une partie PGN puis Ctrl+V ; C copie le FEN et lichess.org/analysis affiche la même position.</t>
  </si>
  <si>
    <t xml:space="preserve">Vérifié par Claude dans le cloud (Linux, fenêtre invisible, vrai Stockfish, jeu piloté souris + clavier) : ✓ FEN colle : « Position collée », Stockfish trouve Qxf7# (M1) ; ✓ PGN colle : « Partie collée : 10 coups », affichee depuis le debut ; ✓ fleche droite x10 : on arrive au dernier coup (Najdorf) ; ✓ texte quelconque : « Ce texte n'est ni un FEN ni une partie PGN. », rien ne casse ; ✓ C : le FEN de la position affichee (rnbqkb1r/1p2pppp/p2p1n2/8/3NP3/2N5/PPP2PPP/R1BQKB1R w KQkq - 0 6) — copie vers Windows et lichess non testables ici. Reste pour toi : ce qui demande tes yeux / Windows (voir le texte). En attente de la même vérification sur ton PC.</t>
  </si>
  <si>
    <t xml:space="preserve">t85</t>
  </si>
  <si>
    <t xml:space="preserve">Analyse libre : l'éditeur de position</t>
  </si>
  <si>
    <t xml:space="preserve">Éditer (E) : vide le plateau, pose rois / tours / pions, essaie une position impossible (message), coche un roque, « Analyser ». L'éditeur est-il facile à utiliser ?</t>
  </si>
  <si>
    <t xml:space="preserve">Vérifié par Claude dans le cloud (Linux, fenêtre invisible, vrai Stockfish, jeu piloté souris + clavier) : ✓ pion pose en a8 : refuse (« Un pion ne peut pas être sur la première ou la dernière rangée. ») ; ✓ roques : seul le petit roque blanc est cochable (roi e1, tour h1), coche ; ✓ clic droit, gomme, Deplacer, trait aux Noirs, Analyser : 4k3/8/8/8/8/4P3/8/4K2R b K - 0 1 ; ✓ Stockfish analyse la position fabriquee (Kd7 +6.55) ; ✓ Echap annule l'editeur, la position revient. Reste pour toi : ce qui demande tes yeux / Windows (voir le texte). En attente de la même vérification sur ton PC.</t>
  </si>
  <si>
    <t xml:space="preserve">t86</t>
  </si>
  <si>
    <t xml:space="preserve">Revue → « Analyser (A) »</t>
  </si>
  <si>
    <t xml:space="preserve">Revue d'une partie → un coup → « Analyser (A) » : même position ; Retour : la revue revient au même coup. Les 4 boutons du bas de la revue tiennent bien sur ton écran ?</t>
  </si>
  <si>
    <t xml:space="preserve">Vérifié par Claude dans le cloud (Linux, fenêtre invisible, vrai Stockfish, jeu piloté souris + clavier) : ✓ touche A au coup 5 : analyse libre sur la meme position, la partie (7 coups) dans la feuille ; ✓ Retour : la revue revient au meme coup (5) ; ✓ depuis une variante (3...g6) : la position de la variante ; ✓ 1280x720 : les boutons du bas de la revue ne se chevauchent pas. Reste pour toi : ce qui demande tes yeux / Windows (voir le texte). En attente de la même vérification sur ton PC.</t>
  </si>
  <si>
    <t xml:space="preserve">t87</t>
  </si>
  <si>
    <t xml:space="preserve">Analyse libre : tables de finale, arrêt tout seul</t>
  </si>
  <si>
    <t xml:space="preserve">Avec le dossier syzygy/ : colle 8/8/8/4k3/8/8/4P3/4K3 w - - 0 1 → « Tables de finale : les Blancs gagnent » ; laisse 2 min sur une position : « analyse terminée », plus de stockfish.exe d'analyse libre après Retour.</t>
  </si>
  <si>
    <t xml:space="preserve">Vérifié par Claude dans le cloud (Linux, fenêtre invisible, vrai Stockfish, jeu piloté souris + clavier) : ✓ sans dossier syzygy/ : aucune ligne « Tables de finale », aucune erreur (avec les tables : a voir sur ton PC) ; ✓ « Trait aux Blancs  ·  profondeur 34 (analyse terminée) » apres 60 s ; ✓ processeur de Stockfish apres l'arret tout seul : 0 % ; ✓ Echap : retour ; plus aucun stockfish d'analyse libre ([]). Reste pour toi : ce qui demande tes yeux / Windows (voir le texte). En attente de la même vérification sur ton PC.</t>
  </si>
  <si>
    <t xml:space="preserve">t88</t>
  </si>
  <si>
    <t xml:space="preserve">Invitation d'un ami (p36)</t>
  </si>
  <si>
    <t xml:space="preserve">Invitation : « Test : invitation » (sans ami)</t>
  </si>
  <si>
    <t xml:space="preserve">Jouer en ligne → « Test : invitation », puis Retour : dans le menu, « Ami de test t'invite à jouer » avec un petit son ; « Plus tard » le range ; Jouer en ligne le montre dans « INVITATIONS REÇUES ».</t>
  </si>
  <si>
    <t xml:space="preserve">Vérifié par Claude dans le cloud (Linux, fenêtre invisible, vrai Stockfish, jeu piloté souris + clavier) : ✓ « Test : invitation » : « Invitation de test : reviens au menu pour voir le bandeau. », la liste « INVITATIONS REÇUES » la montre ; ✓ au menu : bandeau « Ami de test t'invite à jouer » + petit son ; ✓ Rejoindre l'invitation de test : Le multijoueur Steam n'existe que sous Windows. ; ✓ Plus tard : le bandeau part, l'invitation reste dans la liste. Reste pour toi : ce qui demande tes yeux / Windows (voir le texte). En attente de la même vérification sur ton PC.</t>
  </si>
  <si>
    <t xml:space="preserve">t89</t>
  </si>
  <si>
    <t xml:space="preserve">Invitation d'un ami, au menu</t>
  </si>
  <si>
    <t xml:space="preserve">Avec un ami : SickChess ouvert au menu, ton ami t'invite depuis son salon : bandeau en haut ; « Rejoindre » → tu arrives dans son salon et la partie se lance normalement.</t>
  </si>
  <si>
    <t xml:space="preserve">Il faut un ami Steam : impossible pour Claude. 31 contrôles automatiques verts avec un faux Steam.</t>
  </si>
  <si>
    <t xml:space="preserve">t90</t>
  </si>
  <si>
    <t xml:space="preserve">Invitation d'un ami, pendant les Problèmes</t>
  </si>
  <si>
    <t xml:space="preserve">Avec un ami : même chose pendant les Problèmes (ou une revue) : l'écran se ferme, salon de l'ami.</t>
  </si>
  <si>
    <t xml:space="preserve">t91</t>
  </si>
  <si>
    <t xml:space="preserve">Invitation d'un ami, en pleine partie</t>
  </si>
  <si>
    <t xml:space="preserve">Avec un ami : même chose pendant une partie contre l'ordinateur : « Rejoindre &lt;ami&gt; ? », pendule arrêtée ; Rester continue ; Rejoindre → salon, et ensuite « Reprendre la partie » dans le menu.</t>
  </si>
  <si>
    <t xml:space="preserve">t92</t>
  </si>
  <si>
    <t xml:space="preserve">Classements Steam (p37)</t>
  </si>
  <si>
    <t xml:space="preserve">Classements Steam : les 3 classements, les 3 vues</t>
  </si>
  <si>
    <t xml:space="preserve">Steam ouvert : Problèmes → « Classements Steam » : les trois classements et les trois vues se chargent ; ta ligne « Toi » en or (après un premier score). Lisible ? Rapide ?</t>
  </si>
  <si>
    <t xml:space="preserve">Il faut Steam ouvert : vérification avec le vrai Steam (480) demandée à Claude Code sur ton PC. 32 contrôles automatiques verts avec un faux Steam.</t>
  </si>
  <si>
    <t xml:space="preserve">t93</t>
  </si>
  <si>
    <t xml:space="preserve">Classements Steam : ton score arrive</t>
  </si>
  <si>
    <t xml:space="preserve">Fais un contre la montre puis rouvre les classements : ton score y est (Actualiser si besoin) ; même chose avec une survie et un problème classé.</t>
  </si>
  <si>
    <t xml:space="preserve">t94</t>
  </si>
  <si>
    <t xml:space="preserve">Classements Steam : sans Steam puis avec</t>
  </si>
  <si>
    <t xml:space="preserve">Steam fermé : l'écran le dit et montre tes scores ; joue un contre la montre ; relance le jeu Steam ouvert : ton record apparaît dans le classement sans rien refaire.</t>
  </si>
  <si>
    <t xml:space="preserve">t95</t>
  </si>
  <si>
    <t xml:space="preserve">Banque de positions (p30)</t>
  </si>
  <si>
    <t xml:space="preserve">Revue : une partie qui commence ailleurs n'a plus de fausse « Théorique »</t>
  </si>
  <si>
    <t xml:space="preserve">Mes parties → Importer une partie PGN avec [FEN "…"] (une position de départ) dont le 1er coup est une gaffe : sa revue le note Gaffe, pas « Théorique ».</t>
  </si>
  <si>
    <t xml:space="preserve">Défaut trouvé par la banque de positions (p30) et corrigé ; banque : 114 coups justes sur 114 (Forte et Rapide) dans le cloud.</t>
  </si>
  <si>
    <t xml:space="preserve">t96</t>
  </si>
  <si>
    <t xml:space="preserve">Rapport de plantage (p29)</t>
  </si>
  <si>
    <t xml:space="preserve">Rapport de plantage : la carte au lancement suivant</t>
  </si>
  <si>
    <t xml:space="preserve">Dans un terminal, dossier du jeu : python SickChess.py --plantage-test (le jeu se ferme), puis relance le jeu : carte « La dernière fois, SickChess s'est fermé à cause d'une erreur » ; « Envoyer le rapport » ouvre Signaler déjà rempli ; envoie (ou Non merci) : la carte ne revient plus.</t>
  </si>
  <si>
    <t xml:space="preserve">Vérifié par Claude dans le cloud (18 contrôles, dont un vrai plantage du lanceur). À refaire sur ton PC.</t>
  </si>
  <si>
    <t xml:space="preserve">t97</t>
  </si>
  <si>
    <t xml:space="preserve">Vérification avant version (p32)</t>
  </si>
  <si>
    <t xml:space="preserve">Version amis : la vérification passe d'abord</t>
  </si>
  <si>
    <t xml:space="preserve">Double-clic sur CONSTRUIRE_VERSION_AMIS.bat : la vérification passe d'abord (OK / A REVOIR / BLOQUANT) ; la version ne se fabrique que sans BLOQUANT ; le .exe est essayé dans un dossier neuf avant l'envoi. Les messages sont clairs ?</t>
  </si>
  <si>
    <t xml:space="preserve">Aujourd'hui pour une version amis : rien de bloquant ; à revoir : licences des pièces « Classique » et des ouvertures encore « à vérifier » dans docs/CREDITS.md (bloquant pour une version Steam).</t>
  </si>
  <si>
    <t xml:space="preserve">t98</t>
  </si>
  <si>
    <t xml:space="preserve">Mode petit PC (p31)</t>
  </si>
  <si>
    <t xml:space="preserve">Options : Puissance du PC (petit PC)</t>
  </si>
  <si>
    <t xml:space="preserve">Options → Affichage → « Puissance du PC » : la ligne dit « Ce PC : 12 cœurs, … → PC normal » ; choisis Petit PC, ouvre une revue : un seul stockfish.exe (Gestionnaire des tâches), jeu fluide ; reviens à Automatique. Si un ami a un petit portable : le jeu est-il plus fluide chez lui ?</t>
  </si>
  <si>
    <t xml:space="preserve">Sur ton PC (i7, 12 cœurs) rien ne change en Automatique. Le cloud (4 cœurs) est détecté « petit PC » : tout y est vert.</t>
  </si>
  <si>
    <t xml:space="preserve">t99</t>
  </si>
  <si>
    <t xml:space="preserve">Résumé du coach (p27)</t>
  </si>
  <si>
    <t xml:space="preserve">Carte de fin : le résumé du coach</t>
  </si>
  <si>
    <t xml:space="preserve">Finis une partie contre l'ordinateur : trois lignes (ouverture, ton plus gros moment avec le coup qu'il fallait jouer, précision « provisoire » puis comparée à tes 10 dernières parties). Utile ? Lisible ? Rien ne chevauche les boutons ?</t>
  </si>
  <si>
    <t xml:space="preserve">—</t>
  </si>
  <si>
    <t xml:space="preserve">t100</t>
  </si>
  <si>
    <t xml:space="preserve">Lisibilité pour tous (p33)</t>
  </si>
  <si>
    <t xml:space="preserve">Pastilles plus lisibles, grands écrans</t>
  </si>
  <si>
    <t xml:space="preserve">Dans la revue : les symboles des pastilles (surtout Imprécision jaune, Excellent vert clair) ont un fin contour sombre : plus lisibles ? toujours jolis ? Avec un écran 2560×1440 ou une télé 4K : plein écran (F11), tout est-il à la bonne taille ?</t>
  </si>
  <si>
    <t xml:space="preserve">Tests au total</t>
  </si>
  <si>
    <t xml:space="preserve">Fonctionne</t>
  </si>
  <si>
    <t xml:space="preserve">Ne fonctionne pas</t>
  </si>
  <si>
    <t xml:space="preserve">Reste à faire</t>
  </si>
  <si>
    <t xml:space="preserve">Source : page « SickChess – À faire » (t82 à t100), lue le 24/10 à 04h35. Aucun test n'y est encore coché.</t>
  </si>
  <si>
    <t xml:space="preserve">Travaux faits par Claude Code (cloud) la nuit du 24/10</t>
  </si>
  <si>
    <t xml:space="preserve">Tests pour toi</t>
  </si>
  <si>
    <t xml:space="preserve">Nombre de tests</t>
  </si>
  <si>
    <t xml:space="preserve">À vérifier sous Windows</t>
  </si>
  <si>
    <t xml:space="preserve">t82 à t87</t>
  </si>
  <si>
    <t xml:space="preserve">Stockfish, fenêtre du jeu</t>
  </si>
  <si>
    <t xml:space="preserve">t88 à t91</t>
  </si>
  <si>
    <t xml:space="preserve">Steam ouvert + un ami Steam</t>
  </si>
  <si>
    <t xml:space="preserve">t92 à t94</t>
  </si>
  <si>
    <t xml:space="preserve">Steam ouvert</t>
  </si>
  <si>
    <t xml:space="preserve">Revue d'une partie importée (114 coups justes sur 114)</t>
  </si>
  <si>
    <t xml:space="preserve">Lancement du jeu</t>
  </si>
  <si>
    <t xml:space="preserve">CONSTRUIRE_VERSION_AMIS.bat</t>
  </si>
  <si>
    <t xml:space="preserve">Options → Affichage</t>
  </si>
  <si>
    <t xml:space="preserve">Fin d'une partie contre l'ordinateur</t>
  </si>
  <si>
    <t xml:space="preserve">Grand écran / pastilles</t>
  </si>
  <si>
    <t xml:space="preserve">Test d'endurance (p28)</t>
  </si>
  <si>
    <t xml:space="preserve">Lancé par Claude Code (2 h)</t>
  </si>
  <si>
    <t xml:space="preserve">Total</t>
  </si>
  <si>
    <t xml:space="preserve">Ce travail est maintenant sur ton PC (fusionné), mais pas encore dans une version amis : la dernière publiée est la n° 3.</t>
  </si>
  <si>
    <t xml:space="preserve">Encore ouvert (hors tests ci-contre)</t>
  </si>
  <si>
    <t xml:space="preserve">Sujet</t>
  </si>
  <si>
    <t xml:space="preserve">Pourquoi c'est important</t>
  </si>
  <si>
    <t xml:space="preserve">Quand</t>
  </si>
  <si>
    <t xml:space="preserve">Crédits d'utilisation (b05)</t>
  </si>
  <si>
    <t xml:space="preserve">Ton crédit offert expire le 5 novembre : à activer sur claude.ai → Réglages → Utilisation.</t>
  </si>
  <si>
    <t xml:space="preserve">Avant le 5/11</t>
  </si>
  <si>
    <t xml:space="preserve">Compte Steamworks + 100 $ (p21)</t>
  </si>
  <si>
    <t xml:space="preserve">Indispensable pour les succès dans Steam, le vrai numéro du jeu et la vente ; lance un délai obligatoire de 30 jours.</t>
  </si>
  <si>
    <t xml:space="preserve">Le plus tôt possible</t>
  </si>
  <si>
    <t xml:space="preserve">Niveaux en vrai Elo (p34)</t>
  </si>
  <si>
    <t xml:space="preserve">Dernier travail choisi pas encore fait : centaines de parties automatiques, à lancer une nuit sur ton PC.</t>
  </si>
  <si>
    <t xml:space="preserve">Après les tests</t>
  </si>
  <si>
    <t xml:space="preserve">Partie en ligne avec un ami (v04)</t>
  </si>
  <si>
    <t xml:space="preserve">Seul test que personne ne peut faire à ta place.</t>
  </si>
  <si>
    <t xml:space="preserve">Quand un ami est dispo</t>
  </si>
  <si>
    <t xml:space="preserve">Page « Banc d'essai » (b04)</t>
  </si>
  <si>
    <t xml:space="preserve">Remplir les 8 tests de ressenti.</t>
  </si>
  <si>
    <t xml:space="preserve">Quand tu veux</t>
  </si>
  <si>
    <t xml:space="preserve">Licence des pièces « Classique » (p22)</t>
  </si>
  <si>
    <t xml:space="preserve">Signalée par la vérification avant version : à régler avant la vente.</t>
  </si>
  <si>
    <t xml:space="preserve">Avant Steam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</si>
</sst>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332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A17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D"/>
      </left>
      <right style="thin">
        <color rgb="FFD8D0BD"/>
      </right>
      <top style="thin">
        <color rgb="FFD8D0BD"/>
      </top>
      <bottom style="thin">
        <color rgb="FFD8D0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1F0E6"/>
        </patternFill>
      </fill>
    </dxf>
    <dxf>
      <fill>
        <patternFill>
          <bgColor rgb="FFF7DE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D"/>
      <rgbColor rgb="FF808080"/>
      <rgbColor rgb="FF9999FF"/>
      <rgbColor rgb="FF993366"/>
      <rgbColor rgb="FFF7DEDB"/>
      <rgbColor rgb="FFE1F0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1A17"/>
      <rgbColor rgb="FFB332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8"/>
    <col collapsed="false" customWidth="true" hidden="false" outlineLevel="0" max="4" min="4" style="0" width="9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n">
        <v>1</v>
      </c>
      <c r="B5" s="4" t="s">
        <v>7</v>
      </c>
      <c r="C5" s="4" t="s">
        <v>8</v>
      </c>
      <c r="D5" s="5" t="s">
        <v>9</v>
      </c>
      <c r="E5" s="4" t="s">
        <v>10</v>
      </c>
    </row>
    <row r="6" customFormat="false" ht="35.05" hidden="false" customHeight="false" outlineLevel="0" collapsed="false">
      <c r="A6" s="4" t="n">
        <v>2</v>
      </c>
      <c r="B6" s="4" t="s">
        <v>7</v>
      </c>
      <c r="C6" s="4" t="s">
        <v>11</v>
      </c>
      <c r="D6" s="5" t="s">
        <v>12</v>
      </c>
      <c r="E6" s="4" t="s">
        <v>13</v>
      </c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15</v>
      </c>
      <c r="D7" s="5" t="s">
        <v>12</v>
      </c>
      <c r="E7" s="4"/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16</v>
      </c>
      <c r="D8" s="5" t="s">
        <v>12</v>
      </c>
      <c r="E8" s="4"/>
    </row>
    <row r="9" customFormat="false" ht="15" hidden="false" customHeight="false" outlineLevel="0" collapsed="false">
      <c r="A9" s="4" t="n">
        <v>5</v>
      </c>
      <c r="B9" s="4" t="s">
        <v>14</v>
      </c>
      <c r="C9" s="4" t="s">
        <v>17</v>
      </c>
      <c r="D9" s="5" t="s">
        <v>12</v>
      </c>
      <c r="E9" s="4"/>
    </row>
    <row r="10" customFormat="false" ht="15" hidden="false" customHeight="false" outlineLevel="0" collapsed="false">
      <c r="A10" s="4" t="n">
        <v>6</v>
      </c>
      <c r="B10" s="4" t="s">
        <v>14</v>
      </c>
      <c r="C10" s="4" t="s">
        <v>18</v>
      </c>
      <c r="D10" s="5" t="s">
        <v>12</v>
      </c>
      <c r="E10" s="4"/>
    </row>
    <row r="11" customFormat="false" ht="15" hidden="false" customHeight="false" outlineLevel="0" collapsed="false">
      <c r="A11" s="4" t="n">
        <v>7</v>
      </c>
      <c r="B11" s="4" t="s">
        <v>14</v>
      </c>
      <c r="C11" s="4" t="s">
        <v>19</v>
      </c>
      <c r="D11" s="5" t="s">
        <v>12</v>
      </c>
      <c r="E11" s="4"/>
    </row>
    <row r="12" customFormat="false" ht="15" hidden="false" customHeight="false" outlineLevel="0" collapsed="false">
      <c r="A12" s="4" t="n">
        <v>8</v>
      </c>
      <c r="B12" s="4" t="s">
        <v>20</v>
      </c>
      <c r="C12" s="4" t="s">
        <v>21</v>
      </c>
      <c r="D12" s="5" t="s">
        <v>12</v>
      </c>
      <c r="E12" s="4"/>
    </row>
    <row r="14" customFormat="false" ht="15" hidden="false" customHeight="false" outlineLevel="0" collapsed="false">
      <c r="C14" s="6" t="str">
        <f aca="false">COUNTIF(D5:D12,"Oui")&amp;" étape(s) faite(s) sur "&amp;COUNTA(A5:A12)</f>
        <v>1 étape(s) faite(s) sur 8</v>
      </c>
    </row>
  </sheetData>
  <conditionalFormatting sqref="D5:D12">
    <cfRule type="expression" priority="2" aboveAverage="0" equalAverage="0" bottom="0" percent="0" rank="0" text="" dxfId="0">
      <formula>D5="Oui"</formula>
    </cfRule>
  </conditionalFormatting>
  <dataValidations count="1">
    <dataValidation allowBlank="true" errorStyle="stop" operator="between" showDropDown="false" showErrorMessage="false" showInputMessage="false" sqref="D5:D1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7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6.8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customFormat="false" ht="180.55" hidden="false" customHeight="fals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4" t="s">
        <v>12</v>
      </c>
      <c r="F5" s="4" t="s">
        <v>12</v>
      </c>
      <c r="G5" s="4" t="s">
        <v>37</v>
      </c>
      <c r="H5" s="5"/>
      <c r="I5" s="5"/>
    </row>
    <row r="6" customFormat="false" ht="113.4" hidden="false" customHeight="false" outlineLevel="0" collapsed="false">
      <c r="A6" s="4" t="s">
        <v>38</v>
      </c>
      <c r="B6" s="4" t="s">
        <v>34</v>
      </c>
      <c r="C6" s="4" t="s">
        <v>39</v>
      </c>
      <c r="D6" s="4" t="s">
        <v>40</v>
      </c>
      <c r="E6" s="4" t="s">
        <v>12</v>
      </c>
      <c r="F6" s="4" t="s">
        <v>12</v>
      </c>
      <c r="G6" s="4" t="s">
        <v>41</v>
      </c>
      <c r="H6" s="5"/>
      <c r="I6" s="5"/>
    </row>
    <row r="7" customFormat="false" ht="169.4" hidden="false" customHeight="false" outlineLevel="0" collapsed="false">
      <c r="A7" s="4" t="s">
        <v>42</v>
      </c>
      <c r="B7" s="4" t="s">
        <v>34</v>
      </c>
      <c r="C7" s="4" t="s">
        <v>43</v>
      </c>
      <c r="D7" s="4" t="s">
        <v>44</v>
      </c>
      <c r="E7" s="4" t="s">
        <v>12</v>
      </c>
      <c r="F7" s="4" t="s">
        <v>12</v>
      </c>
      <c r="G7" s="4" t="s">
        <v>45</v>
      </c>
      <c r="H7" s="5"/>
      <c r="I7" s="5"/>
    </row>
    <row r="8" customFormat="false" ht="147" hidden="false" customHeight="false" outlineLevel="0" collapsed="false">
      <c r="A8" s="4" t="s">
        <v>46</v>
      </c>
      <c r="B8" s="4" t="s">
        <v>34</v>
      </c>
      <c r="C8" s="4" t="s">
        <v>47</v>
      </c>
      <c r="D8" s="4" t="s">
        <v>48</v>
      </c>
      <c r="E8" s="4" t="s">
        <v>12</v>
      </c>
      <c r="F8" s="4" t="s">
        <v>12</v>
      </c>
      <c r="G8" s="4" t="s">
        <v>49</v>
      </c>
      <c r="H8" s="5"/>
      <c r="I8" s="5"/>
    </row>
    <row r="9" customFormat="false" ht="124.6" hidden="false" customHeight="false" outlineLevel="0" collapsed="false">
      <c r="A9" s="4" t="s">
        <v>50</v>
      </c>
      <c r="B9" s="4" t="s">
        <v>34</v>
      </c>
      <c r="C9" s="4" t="s">
        <v>51</v>
      </c>
      <c r="D9" s="4" t="s">
        <v>52</v>
      </c>
      <c r="E9" s="4" t="s">
        <v>12</v>
      </c>
      <c r="F9" s="4" t="s">
        <v>12</v>
      </c>
      <c r="G9" s="4" t="s">
        <v>53</v>
      </c>
      <c r="H9" s="5"/>
      <c r="I9" s="5"/>
    </row>
    <row r="10" customFormat="false" ht="124.6" hidden="false" customHeight="false" outlineLevel="0" collapsed="false">
      <c r="A10" s="4" t="s">
        <v>54</v>
      </c>
      <c r="B10" s="4" t="s">
        <v>34</v>
      </c>
      <c r="C10" s="4" t="s">
        <v>55</v>
      </c>
      <c r="D10" s="4" t="s">
        <v>56</v>
      </c>
      <c r="E10" s="4" t="s">
        <v>12</v>
      </c>
      <c r="F10" s="4" t="s">
        <v>12</v>
      </c>
      <c r="G10" s="4" t="s">
        <v>57</v>
      </c>
      <c r="H10" s="5"/>
      <c r="I10" s="5"/>
    </row>
    <row r="11" customFormat="false" ht="135.8" hidden="false" customHeight="false" outlineLevel="0" collapsed="false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9</v>
      </c>
      <c r="F11" s="4" t="s">
        <v>12</v>
      </c>
      <c r="G11" s="4" t="s">
        <v>62</v>
      </c>
      <c r="H11" s="5"/>
      <c r="I11" s="5"/>
    </row>
    <row r="12" customFormat="false" ht="35.05" hidden="false" customHeight="false" outlineLevel="0" collapsed="false">
      <c r="A12" s="4" t="s">
        <v>63</v>
      </c>
      <c r="B12" s="4" t="s">
        <v>59</v>
      </c>
      <c r="C12" s="4" t="s">
        <v>64</v>
      </c>
      <c r="D12" s="4" t="s">
        <v>65</v>
      </c>
      <c r="E12" s="4" t="s">
        <v>9</v>
      </c>
      <c r="F12" s="4" t="s">
        <v>9</v>
      </c>
      <c r="G12" s="4" t="s">
        <v>66</v>
      </c>
      <c r="H12" s="5"/>
      <c r="I12" s="5"/>
    </row>
    <row r="13" customFormat="false" ht="35.05" hidden="false" customHeight="false" outlineLevel="0" collapsed="false">
      <c r="A13" s="4" t="s">
        <v>67</v>
      </c>
      <c r="B13" s="4" t="s">
        <v>59</v>
      </c>
      <c r="C13" s="4" t="s">
        <v>68</v>
      </c>
      <c r="D13" s="4" t="s">
        <v>69</v>
      </c>
      <c r="E13" s="4" t="s">
        <v>9</v>
      </c>
      <c r="F13" s="4" t="s">
        <v>9</v>
      </c>
      <c r="G13" s="4" t="s">
        <v>66</v>
      </c>
      <c r="H13" s="5"/>
      <c r="I13" s="5"/>
    </row>
    <row r="14" customFormat="false" ht="46.25" hidden="false" customHeight="false" outlineLevel="0" collapsed="false">
      <c r="A14" s="4" t="s">
        <v>70</v>
      </c>
      <c r="B14" s="4" t="s">
        <v>59</v>
      </c>
      <c r="C14" s="4" t="s">
        <v>71</v>
      </c>
      <c r="D14" s="4" t="s">
        <v>72</v>
      </c>
      <c r="E14" s="4" t="s">
        <v>9</v>
      </c>
      <c r="F14" s="4" t="s">
        <v>9</v>
      </c>
      <c r="G14" s="4" t="s">
        <v>66</v>
      </c>
      <c r="H14" s="5"/>
      <c r="I14" s="5"/>
    </row>
    <row r="15" customFormat="false" ht="46.25" hidden="false" customHeight="false" outlineLevel="0" collapsed="false">
      <c r="A15" s="4" t="s">
        <v>73</v>
      </c>
      <c r="B15" s="4" t="s">
        <v>74</v>
      </c>
      <c r="C15" s="4" t="s">
        <v>75</v>
      </c>
      <c r="D15" s="4" t="s">
        <v>76</v>
      </c>
      <c r="E15" s="4" t="s">
        <v>9</v>
      </c>
      <c r="F15" s="4" t="s">
        <v>12</v>
      </c>
      <c r="G15" s="4" t="s">
        <v>77</v>
      </c>
      <c r="H15" s="5"/>
      <c r="I15" s="5"/>
    </row>
    <row r="16" customFormat="false" ht="46.25" hidden="false" customHeight="false" outlineLevel="0" collapsed="false">
      <c r="A16" s="4" t="s">
        <v>78</v>
      </c>
      <c r="B16" s="4" t="s">
        <v>74</v>
      </c>
      <c r="C16" s="4" t="s">
        <v>79</v>
      </c>
      <c r="D16" s="4" t="s">
        <v>80</v>
      </c>
      <c r="E16" s="4" t="s">
        <v>9</v>
      </c>
      <c r="F16" s="4" t="s">
        <v>12</v>
      </c>
      <c r="G16" s="4" t="s">
        <v>77</v>
      </c>
      <c r="H16" s="5"/>
      <c r="I16" s="5"/>
    </row>
    <row r="17" customFormat="false" ht="46.25" hidden="false" customHeight="false" outlineLevel="0" collapsed="false">
      <c r="A17" s="4" t="s">
        <v>81</v>
      </c>
      <c r="B17" s="4" t="s">
        <v>74</v>
      </c>
      <c r="C17" s="4" t="s">
        <v>82</v>
      </c>
      <c r="D17" s="4" t="s">
        <v>83</v>
      </c>
      <c r="E17" s="4" t="s">
        <v>9</v>
      </c>
      <c r="F17" s="4" t="s">
        <v>12</v>
      </c>
      <c r="G17" s="4" t="s">
        <v>77</v>
      </c>
      <c r="H17" s="5"/>
      <c r="I17" s="5"/>
    </row>
    <row r="18" customFormat="false" ht="35.05" hidden="false" customHeight="false" outlineLevel="0" collapsed="false">
      <c r="A18" s="4" t="s">
        <v>84</v>
      </c>
      <c r="B18" s="4" t="s">
        <v>85</v>
      </c>
      <c r="C18" s="4" t="s">
        <v>86</v>
      </c>
      <c r="D18" s="4" t="s">
        <v>87</v>
      </c>
      <c r="E18" s="4" t="s">
        <v>12</v>
      </c>
      <c r="F18" s="4" t="s">
        <v>12</v>
      </c>
      <c r="G18" s="4" t="s">
        <v>88</v>
      </c>
      <c r="H18" s="5"/>
      <c r="I18" s="5"/>
    </row>
    <row r="19" customFormat="false" ht="57.45" hidden="false" customHeight="false" outlineLevel="0" collapsed="false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12</v>
      </c>
      <c r="F19" s="4" t="s">
        <v>12</v>
      </c>
      <c r="G19" s="4" t="s">
        <v>93</v>
      </c>
      <c r="H19" s="5"/>
      <c r="I19" s="5"/>
    </row>
    <row r="20" customFormat="false" ht="57.45" hidden="false" customHeight="false" outlineLevel="0" collapsed="false">
      <c r="A20" s="4" t="s">
        <v>94</v>
      </c>
      <c r="B20" s="4" t="s">
        <v>95</v>
      </c>
      <c r="C20" s="4" t="s">
        <v>96</v>
      </c>
      <c r="D20" s="4" t="s">
        <v>97</v>
      </c>
      <c r="E20" s="4" t="s">
        <v>12</v>
      </c>
      <c r="F20" s="4" t="s">
        <v>12</v>
      </c>
      <c r="G20" s="4" t="s">
        <v>98</v>
      </c>
      <c r="H20" s="5"/>
      <c r="I20" s="5"/>
    </row>
    <row r="21" customFormat="false" ht="57.45" hidden="false" customHeight="false" outlineLevel="0" collapsed="false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12</v>
      </c>
      <c r="F21" s="4" t="s">
        <v>12</v>
      </c>
      <c r="G21" s="4" t="s">
        <v>103</v>
      </c>
      <c r="H21" s="5"/>
      <c r="I21" s="5"/>
    </row>
    <row r="22" customFormat="false" ht="46.25" hidden="false" customHeight="false" outlineLevel="0" collapsed="false">
      <c r="A22" s="4" t="s">
        <v>104</v>
      </c>
      <c r="B22" s="4" t="s">
        <v>105</v>
      </c>
      <c r="C22" s="4" t="s">
        <v>106</v>
      </c>
      <c r="D22" s="4" t="s">
        <v>107</v>
      </c>
      <c r="E22" s="4" t="s">
        <v>12</v>
      </c>
      <c r="F22" s="4" t="s">
        <v>12</v>
      </c>
      <c r="G22" s="4" t="s">
        <v>108</v>
      </c>
      <c r="H22" s="5"/>
      <c r="I22" s="5"/>
    </row>
    <row r="23" customFormat="false" ht="46.25" hidden="false" customHeight="false" outlineLevel="0" collapsed="false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12</v>
      </c>
      <c r="F23" s="4" t="s">
        <v>12</v>
      </c>
      <c r="G23" s="4" t="s">
        <v>108</v>
      </c>
      <c r="H23" s="5"/>
      <c r="I23" s="5"/>
    </row>
    <row r="25" customFormat="false" ht="15" hidden="false" customHeight="false" outlineLevel="0" collapsed="false">
      <c r="A25" s="6" t="s">
        <v>113</v>
      </c>
      <c r="B25" s="6" t="n">
        <f aca="false">COUNTA(A5:A23)</f>
        <v>19</v>
      </c>
    </row>
    <row r="26" customFormat="false" ht="15" hidden="false" customHeight="false" outlineLevel="0" collapsed="false">
      <c r="A26" s="6" t="s">
        <v>114</v>
      </c>
      <c r="B26" s="6" t="n">
        <f aca="false">COUNTIF(H5:H23,"Fonctionne")</f>
        <v>0</v>
      </c>
    </row>
    <row r="27" customFormat="false" ht="15" hidden="false" customHeight="false" outlineLevel="0" collapsed="false">
      <c r="A27" s="6" t="s">
        <v>115</v>
      </c>
      <c r="B27" s="6" t="n">
        <f aca="false">COUNTIF(H5:H23,"Ne fonctionne pas")</f>
        <v>0</v>
      </c>
    </row>
    <row r="28" customFormat="false" ht="15" hidden="false" customHeight="false" outlineLevel="0" collapsed="false">
      <c r="A28" s="6" t="s">
        <v>116</v>
      </c>
      <c r="B28" s="6" t="n">
        <f aca="false">B25-B26-B27</f>
        <v>19</v>
      </c>
    </row>
    <row r="29" customFormat="false" ht="15" hidden="false" customHeight="false" outlineLevel="0" collapsed="false">
      <c r="A29" s="7" t="s">
        <v>117</v>
      </c>
    </row>
  </sheetData>
  <conditionalFormatting sqref="H5:H23">
    <cfRule type="expression" priority="2" aboveAverage="0" equalAverage="0" bottom="0" percent="0" rank="0" text="" dxfId="0">
      <formula>H5="Fonctionne"</formula>
    </cfRule>
    <cfRule type="expression" priority="3" aboveAverage="0" equalAverage="0" bottom="0" percent="0" rank="0" text="" dxfId="1">
      <formula>H5="Ne fonctionne pas"</formula>
    </cfRule>
  </conditionalFormatting>
  <dataValidations count="1">
    <dataValidation allowBlank="true" errorStyle="stop" operator="between" showDropDown="false" showErrorMessage="false" showInputMessage="false" sqref="H5:H23" type="list">
      <formula1>"Fonctionne,Ne fonctionne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118</v>
      </c>
    </row>
    <row r="3" customFormat="false" ht="26.85" hidden="false" customHeight="false" outlineLevel="0" collapsed="false">
      <c r="A3" s="3" t="s">
        <v>25</v>
      </c>
      <c r="B3" s="3" t="s">
        <v>119</v>
      </c>
      <c r="C3" s="3" t="s">
        <v>120</v>
      </c>
      <c r="D3" s="3" t="s">
        <v>121</v>
      </c>
    </row>
    <row r="4" customFormat="false" ht="15" hidden="false" customHeight="false" outlineLevel="0" collapsed="false">
      <c r="A4" s="4" t="s">
        <v>34</v>
      </c>
      <c r="B4" s="4" t="s">
        <v>122</v>
      </c>
      <c r="C4" s="8" t="n">
        <f aca="false">COUNTIF('Tests à faire'!$B$5:$B$23,"Analyse libre (p35)")</f>
        <v>6</v>
      </c>
      <c r="D4" s="4" t="s">
        <v>123</v>
      </c>
    </row>
    <row r="5" customFormat="false" ht="15" hidden="false" customHeight="false" outlineLevel="0" collapsed="false">
      <c r="A5" s="4" t="s">
        <v>59</v>
      </c>
      <c r="B5" s="4" t="s">
        <v>124</v>
      </c>
      <c r="C5" s="8" t="n">
        <f aca="false">COUNTIF('Tests à faire'!$B$5:$B$23,"Invitation d'un ami (p36)")</f>
        <v>4</v>
      </c>
      <c r="D5" s="4" t="s">
        <v>125</v>
      </c>
    </row>
    <row r="6" customFormat="false" ht="15" hidden="false" customHeight="false" outlineLevel="0" collapsed="false">
      <c r="A6" s="4" t="s">
        <v>74</v>
      </c>
      <c r="B6" s="4" t="s">
        <v>126</v>
      </c>
      <c r="C6" s="8" t="n">
        <f aca="false">COUNTIF('Tests à faire'!$B$5:$B$23,"Classements Steam (p37)")</f>
        <v>3</v>
      </c>
      <c r="D6" s="4" t="s">
        <v>127</v>
      </c>
    </row>
    <row r="7" customFormat="false" ht="23.85" hidden="false" customHeight="false" outlineLevel="0" collapsed="false">
      <c r="A7" s="4" t="s">
        <v>85</v>
      </c>
      <c r="B7" s="4" t="s">
        <v>84</v>
      </c>
      <c r="C7" s="8" t="n">
        <f aca="false">COUNTIF('Tests à faire'!$B$5:$B$23,"Banque de positions (p30)")</f>
        <v>1</v>
      </c>
      <c r="D7" s="4" t="s">
        <v>128</v>
      </c>
    </row>
    <row r="8" customFormat="false" ht="15" hidden="false" customHeight="false" outlineLevel="0" collapsed="false">
      <c r="A8" s="4" t="s">
        <v>90</v>
      </c>
      <c r="B8" s="4" t="s">
        <v>89</v>
      </c>
      <c r="C8" s="8" t="n">
        <f aca="false">COUNTIF('Tests à faire'!$B$5:$B$23,"Rapport de plantage (p29)")</f>
        <v>1</v>
      </c>
      <c r="D8" s="4" t="s">
        <v>129</v>
      </c>
    </row>
    <row r="9" customFormat="false" ht="15" hidden="false" customHeight="false" outlineLevel="0" collapsed="false">
      <c r="A9" s="4" t="s">
        <v>95</v>
      </c>
      <c r="B9" s="4" t="s">
        <v>94</v>
      </c>
      <c r="C9" s="8" t="n">
        <f aca="false">COUNTIF('Tests à faire'!$B$5:$B$23,"Vérification avant version (p32)")</f>
        <v>1</v>
      </c>
      <c r="D9" s="4" t="s">
        <v>130</v>
      </c>
    </row>
    <row r="10" customFormat="false" ht="15" hidden="false" customHeight="false" outlineLevel="0" collapsed="false">
      <c r="A10" s="4" t="s">
        <v>100</v>
      </c>
      <c r="B10" s="4" t="s">
        <v>99</v>
      </c>
      <c r="C10" s="8" t="n">
        <f aca="false">COUNTIF('Tests à faire'!$B$5:$B$23,"Mode petit PC (p31)")</f>
        <v>1</v>
      </c>
      <c r="D10" s="4" t="s">
        <v>131</v>
      </c>
    </row>
    <row r="11" customFormat="false" ht="15" hidden="false" customHeight="false" outlineLevel="0" collapsed="false">
      <c r="A11" s="4" t="s">
        <v>105</v>
      </c>
      <c r="B11" s="4" t="s">
        <v>104</v>
      </c>
      <c r="C11" s="8" t="n">
        <f aca="false">COUNTIF('Tests à faire'!$B$5:$B$23,"Résumé du coach (p27)")</f>
        <v>1</v>
      </c>
      <c r="D11" s="4" t="s">
        <v>132</v>
      </c>
    </row>
    <row r="12" customFormat="false" ht="15" hidden="false" customHeight="false" outlineLevel="0" collapsed="false">
      <c r="A12" s="4" t="s">
        <v>110</v>
      </c>
      <c r="B12" s="4" t="s">
        <v>109</v>
      </c>
      <c r="C12" s="8" t="n">
        <f aca="false">COUNTIF('Tests à faire'!$B$5:$B$23,"Lisibilité pour tous (p33)")</f>
        <v>1</v>
      </c>
      <c r="D12" s="4" t="s">
        <v>133</v>
      </c>
    </row>
    <row r="13" customFormat="false" ht="15" hidden="false" customHeight="false" outlineLevel="0" collapsed="false">
      <c r="A13" s="4" t="s">
        <v>134</v>
      </c>
      <c r="B13" s="4" t="s">
        <v>108</v>
      </c>
      <c r="C13" s="8" t="n">
        <f aca="false">COUNTIF('Tests à faire'!$B$5:$B$23,"Test d'endurance (p28)")</f>
        <v>0</v>
      </c>
      <c r="D13" s="4" t="s">
        <v>135</v>
      </c>
    </row>
    <row r="14" customFormat="false" ht="15" hidden="false" customHeight="false" outlineLevel="0" collapsed="false">
      <c r="A14" s="6" t="s">
        <v>136</v>
      </c>
      <c r="C14" s="6" t="n">
        <f aca="false">SUM(C4:C13)</f>
        <v>19</v>
      </c>
    </row>
    <row r="16" customFormat="false" ht="30" hidden="false" customHeight="true" outlineLevel="0" collapsed="false">
      <c r="A16" s="9" t="s">
        <v>137</v>
      </c>
      <c r="B16" s="9"/>
      <c r="C16" s="9"/>
      <c r="D16" s="9"/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3" t="s">
        <v>139</v>
      </c>
      <c r="B3" s="3" t="s">
        <v>140</v>
      </c>
      <c r="C3" s="3" t="s">
        <v>141</v>
      </c>
    </row>
    <row r="4" customFormat="false" ht="23.85" hidden="false" customHeight="false" outlineLevel="0" collapsed="false">
      <c r="A4" s="4" t="s">
        <v>142</v>
      </c>
      <c r="B4" s="4" t="s">
        <v>143</v>
      </c>
      <c r="C4" s="4" t="s">
        <v>144</v>
      </c>
    </row>
    <row r="5" customFormat="false" ht="23.85" hidden="false" customHeight="false" outlineLevel="0" collapsed="false">
      <c r="A5" s="4" t="s">
        <v>145</v>
      </c>
      <c r="B5" s="4" t="s">
        <v>146</v>
      </c>
      <c r="C5" s="4" t="s">
        <v>147</v>
      </c>
    </row>
    <row r="6" customFormat="false" ht="23.85" hidden="false" customHeight="false" outlineLevel="0" collapsed="false">
      <c r="A6" s="4" t="s">
        <v>148</v>
      </c>
      <c r="B6" s="4" t="s">
        <v>149</v>
      </c>
      <c r="C6" s="4" t="s">
        <v>150</v>
      </c>
    </row>
    <row r="7" customFormat="false" ht="15" hidden="false" customHeight="false" outlineLevel="0" collapsed="false">
      <c r="A7" s="4" t="s">
        <v>151</v>
      </c>
      <c r="B7" s="4" t="s">
        <v>152</v>
      </c>
      <c r="C7" s="4" t="s">
        <v>153</v>
      </c>
    </row>
    <row r="8" customFormat="false" ht="15" hidden="false" customHeight="false" outlineLevel="0" collapsed="false">
      <c r="A8" s="4" t="s">
        <v>154</v>
      </c>
      <c r="B8" s="4" t="s">
        <v>155</v>
      </c>
      <c r="C8" s="4" t="s">
        <v>156</v>
      </c>
    </row>
    <row r="9" customFormat="false" ht="15" hidden="false" customHeight="false" outlineLevel="0" collapsed="false">
      <c r="A9" s="4" t="s">
        <v>157</v>
      </c>
      <c r="B9" s="4" t="s">
        <v>158</v>
      </c>
      <c r="C9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2026-10-24T02:36:02Z</dcterms:created>
  <dc:creator>openpyxl</dc:creator>
  <dc:description/>
  <dc:language>en-US</dc:language>
  <cp:lastModifiedBy/>
  <dcterms:modified xsi:type="dcterms:W3CDTF">2026-10-24T02:36:02Z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